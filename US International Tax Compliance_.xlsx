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11b381cc681756/Documents/"/>
    </mc:Choice>
  </mc:AlternateContent>
  <xr:revisionPtr revIDLastSave="1" documentId="8_{3B62FDC7-8029-478F-A852-EB2151F46870}" xr6:coauthVersionLast="47" xr6:coauthVersionMax="47" xr10:uidLastSave="{2B5E27F0-ABC1-4B04-B946-57C7979B2909}"/>
  <bookViews>
    <workbookView xWindow="-108" yWindow="-108" windowWidth="23256" windowHeight="12456" xr2:uid="{E97E2494-F757-4B57-A0BC-3AFE6944EA41}"/>
  </bookViews>
  <sheets>
    <sheet name="Client Portfolio" sheetId="1" r:id="rId1"/>
    <sheet name="Income Data" sheetId="2" r:id="rId2"/>
    <sheet name="FX Rates" sheetId="3" r:id="rId3"/>
    <sheet name="Foreign Account" sheetId="4" r:id="rId4"/>
    <sheet name="Form 1040 WP" sheetId="5" r:id="rId5"/>
    <sheet name="Form 2555 WP" sheetId="6" r:id="rId6"/>
    <sheet name="Form 1116 WP" sheetId="7" r:id="rId7"/>
    <sheet name="FBAR WP" sheetId="8" r:id="rId8"/>
    <sheet name="Form 8938 WP" sheetId="9" r:id="rId9"/>
    <sheet name="W-8 , W-9 Review" sheetId="10" r:id="rId10"/>
    <sheet name="Compliance Checklist" sheetId="11" r:id="rId11"/>
    <sheet name="Final Dashboard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2" l="1"/>
  <c r="B13" i="12"/>
  <c r="B12" i="12"/>
  <c r="B11" i="12"/>
  <c r="C9" i="8"/>
  <c r="C5" i="7"/>
  <c r="C6" i="7"/>
  <c r="C7" i="7"/>
  <c r="C11" i="7"/>
  <c r="C6" i="6"/>
  <c r="C10" i="6" s="1"/>
  <c r="C10" i="5"/>
  <c r="C9" i="5"/>
  <c r="C7" i="5"/>
  <c r="C6" i="5"/>
  <c r="C5" i="5"/>
  <c r="C4" i="5"/>
  <c r="C3" i="5"/>
  <c r="C2" i="5"/>
  <c r="C8" i="4"/>
  <c r="H3" i="4"/>
  <c r="H4" i="4"/>
  <c r="H5" i="4"/>
  <c r="H2" i="4"/>
  <c r="B10" i="2"/>
  <c r="H3" i="2"/>
  <c r="H4" i="2"/>
  <c r="H5" i="2"/>
  <c r="H6" i="2"/>
  <c r="H2" i="2"/>
</calcChain>
</file>

<file path=xl/sharedStrings.xml><?xml version="1.0" encoding="utf-8"?>
<sst xmlns="http://schemas.openxmlformats.org/spreadsheetml/2006/main" count="436" uniqueCount="290">
  <si>
    <t>Client Name: Jason Lee</t>
  </si>
  <si>
    <t>Tax Year</t>
  </si>
  <si>
    <t>Citizenship</t>
  </si>
  <si>
    <t>United States</t>
  </si>
  <si>
    <t>Age</t>
  </si>
  <si>
    <t>Current Residence</t>
  </si>
  <si>
    <t>Hong Kong</t>
  </si>
  <si>
    <t>Yes</t>
  </si>
  <si>
    <t>No</t>
  </si>
  <si>
    <t>Foreign Employer</t>
  </si>
  <si>
    <t>HK Tax Resident</t>
  </si>
  <si>
    <t>Date Moved</t>
  </si>
  <si>
    <t>Greencard</t>
  </si>
  <si>
    <t>Occupation</t>
  </si>
  <si>
    <t>Foreign Bank acc</t>
  </si>
  <si>
    <t>US Bank account</t>
  </si>
  <si>
    <t>US</t>
  </si>
  <si>
    <t>HK</t>
  </si>
  <si>
    <t>Marketing Manager</t>
  </si>
  <si>
    <t>HK Company</t>
  </si>
  <si>
    <t>Objective:</t>
  </si>
  <si>
    <t xml:space="preserve">Analyze the client's US international tax compliance obligations for tax year 2025, </t>
  </si>
  <si>
    <t>including worldwide income reporting, foreign earned income, foreign tax considerations,</t>
  </si>
  <si>
    <t xml:space="preserve"> foreign financial account reporting, FATCA reporting, and related documentation requirements.</t>
  </si>
  <si>
    <t>ID</t>
  </si>
  <si>
    <t>Income Type</t>
  </si>
  <si>
    <t>Source</t>
  </si>
  <si>
    <t>Description</t>
  </si>
  <si>
    <t>Currency</t>
  </si>
  <si>
    <t>Amount</t>
  </si>
  <si>
    <t>INC-001</t>
  </si>
  <si>
    <t>Employment</t>
  </si>
  <si>
    <t>Annual salary from HK employer</t>
  </si>
  <si>
    <t>HKD</t>
  </si>
  <si>
    <t>INC-002</t>
  </si>
  <si>
    <t>Interest</t>
  </si>
  <si>
    <t>Interest from HK bank accounts</t>
  </si>
  <si>
    <t>INC-003</t>
  </si>
  <si>
    <t>Dividend</t>
  </si>
  <si>
    <t>Dividends from US brokerage</t>
  </si>
  <si>
    <t>USD</t>
  </si>
  <si>
    <t>INC-004</t>
  </si>
  <si>
    <t>Capital Gain</t>
  </si>
  <si>
    <t>Gain from sale of US securities</t>
  </si>
  <si>
    <t>INC-005</t>
  </si>
  <si>
    <t>Self-Employment</t>
  </si>
  <si>
    <t>Freelance consulting income</t>
  </si>
  <si>
    <t>FX RATE</t>
  </si>
  <si>
    <t>USD AMT</t>
  </si>
  <si>
    <t>US/FOREIGN SOURCE</t>
  </si>
  <si>
    <t>Workpaper</t>
  </si>
  <si>
    <t>Support Docs</t>
  </si>
  <si>
    <t>Review Status</t>
  </si>
  <si>
    <t>Foreign</t>
  </si>
  <si>
    <t>Form 1040 / Form 2555</t>
  </si>
  <si>
    <t>Form 1040 / Foreign Income</t>
  </si>
  <si>
    <t>Form 1040 / Investment Income</t>
  </si>
  <si>
    <t>Form 1040 / Capital Gains</t>
  </si>
  <si>
    <t>Form 1040 / Self-Employment</t>
  </si>
  <si>
    <t>HK Employment Income Statement</t>
  </si>
  <si>
    <t>HK Bank Interest Statement</t>
  </si>
  <si>
    <t>US Brokerage 1099-DIV</t>
  </si>
  <si>
    <t>US Brokerage 1099-B</t>
  </si>
  <si>
    <t>Consulting Income Records</t>
  </si>
  <si>
    <t>Reviewed — Initial</t>
  </si>
  <si>
    <t>Income Summary</t>
  </si>
  <si>
    <t>Total Income USD =</t>
  </si>
  <si>
    <t>Currency Name</t>
  </si>
  <si>
    <t>USD Conversion Rate</t>
  </si>
  <si>
    <t>Rate Description</t>
  </si>
  <si>
    <t>Hong Kong Dollar</t>
  </si>
  <si>
    <t>1 USD = 7.80 HKD</t>
  </si>
  <si>
    <t>US Dollar</t>
  </si>
  <si>
    <t>Base currency</t>
  </si>
  <si>
    <t>Note:</t>
  </si>
  <si>
    <t>For this simulated engagement, an assumed annual exchange rate of</t>
  </si>
  <si>
    <t>USD 1 = HKD 7.80 is used consistently for illustrative calculations.</t>
  </si>
  <si>
    <t>Actual tax-return preparation would require the applicable exchange-rate methodology</t>
  </si>
  <si>
    <t>Account ID</t>
  </si>
  <si>
    <t>Financial Institution</t>
  </si>
  <si>
    <t>Country</t>
  </si>
  <si>
    <t>Account Type</t>
  </si>
  <si>
    <t>Highest Balance</t>
  </si>
  <si>
    <t>USD FX Rate</t>
  </si>
  <si>
    <t>Highest Balance USD</t>
  </si>
  <si>
    <t>Ownership</t>
  </si>
  <si>
    <t>Documentation</t>
  </si>
  <si>
    <t>FA-001</t>
  </si>
  <si>
    <t>FA-002</t>
  </si>
  <si>
    <t>FA-003</t>
  </si>
  <si>
    <t>FA-004</t>
  </si>
  <si>
    <t>HSBC</t>
  </si>
  <si>
    <t>Hang Seng Bank</t>
  </si>
  <si>
    <t>Interactive Broker</t>
  </si>
  <si>
    <t>Bank of America</t>
  </si>
  <si>
    <t>Bank Acc</t>
  </si>
  <si>
    <t>Broker Acc</t>
  </si>
  <si>
    <t>Direct</t>
  </si>
  <si>
    <t>2025 statement</t>
  </si>
  <si>
    <t>Initial Review</t>
  </si>
  <si>
    <t>Aggregate Foreign Account Value:</t>
  </si>
  <si>
    <t>USD Amount</t>
  </si>
  <si>
    <t>US/Foreign</t>
  </si>
  <si>
    <t>1040 Treatment</t>
  </si>
  <si>
    <t>Wages</t>
  </si>
  <si>
    <t>Interest income</t>
  </si>
  <si>
    <t>Dividend income</t>
  </si>
  <si>
    <t>Capital gain</t>
  </si>
  <si>
    <t>Self-employment income</t>
  </si>
  <si>
    <t>Total</t>
  </si>
  <si>
    <t>Foreign Sourced Income</t>
  </si>
  <si>
    <t>US Sourced Income</t>
  </si>
  <si>
    <t>Item</t>
  </si>
  <si>
    <t>Details</t>
  </si>
  <si>
    <t>Amount / Result</t>
  </si>
  <si>
    <t>Client</t>
  </si>
  <si>
    <t>Hong Kong Employer</t>
  </si>
  <si>
    <t>Foreign Employment Income</t>
  </si>
  <si>
    <t>HKD 780,000</t>
  </si>
  <si>
    <t>Foreign Employment Income (USD)</t>
  </si>
  <si>
    <t>Foreign Country</t>
  </si>
  <si>
    <t>Foreign Residence Start</t>
  </si>
  <si>
    <t>July 1, 2023</t>
  </si>
  <si>
    <t>Foreign Earned Income</t>
  </si>
  <si>
    <t>Jason Lee</t>
  </si>
  <si>
    <t>Qualifying Tax Year</t>
  </si>
  <si>
    <t>Tax Home</t>
  </si>
  <si>
    <t>Meets</t>
  </si>
  <si>
    <t>Bona Fide Residence</t>
  </si>
  <si>
    <t>Hong Kong since 2023</t>
  </si>
  <si>
    <t>Potentially Meets</t>
  </si>
  <si>
    <t>Physical Presence</t>
  </si>
  <si>
    <t>To be verified</t>
  </si>
  <si>
    <t>Review Required</t>
  </si>
  <si>
    <t>Foreign Earned Income Category</t>
  </si>
  <si>
    <t>Employment income</t>
  </si>
  <si>
    <t>Qualifying income category</t>
  </si>
  <si>
    <t>Eligibility Review</t>
  </si>
  <si>
    <t>Subject to applicable IRS requirements</t>
  </si>
  <si>
    <t>Supporting Document</t>
  </si>
  <si>
    <t>Available</t>
  </si>
  <si>
    <t>Pending detailed verification</t>
  </si>
  <si>
    <t>Foreign Interest Income</t>
  </si>
  <si>
    <t>HK bank interest</t>
  </si>
  <si>
    <t>Total Foreign Income</t>
  </si>
  <si>
    <t>Assumed Hong Kong Income Tax Paid</t>
  </si>
  <si>
    <t>Simulated amount for project</t>
  </si>
  <si>
    <t>Foreign Tax Currency</t>
  </si>
  <si>
    <t>FX Rate</t>
  </si>
  <si>
    <t>Foreign Tax Paid (USD)</t>
  </si>
  <si>
    <t>Foreign Tax Credit</t>
  </si>
  <si>
    <t>Subject to limitation</t>
  </si>
  <si>
    <t>Credit Limitation</t>
  </si>
  <si>
    <t>Requires US tax calculation</t>
  </si>
  <si>
    <t>Excess Foreign Tax</t>
  </si>
  <si>
    <t>To be determined</t>
  </si>
  <si>
    <t>Simulated Hong Kong tax assessment</t>
  </si>
  <si>
    <t>Project Assumption</t>
  </si>
  <si>
    <t>Filing</t>
  </si>
  <si>
    <t>FinCEN Form 114 (FBAR)</t>
  </si>
  <si>
    <t>Purpose</t>
  </si>
  <si>
    <t>Foreign financial account reporting analysis</t>
  </si>
  <si>
    <t>HSBC Hong Kong</t>
  </si>
  <si>
    <t>Foreign bank account</t>
  </si>
  <si>
    <t>Interactive Brokers</t>
  </si>
  <si>
    <t>Foreign brokerage account</t>
  </si>
  <si>
    <t>Aggregate Foreign Account Value</t>
  </si>
  <si>
    <t>US bank account</t>
  </si>
  <si>
    <t>FBAR Filing Analysis</t>
  </si>
  <si>
    <t>Foreign accounts exceed applicable reporting threshold</t>
  </si>
  <si>
    <t>Account Ownership</t>
  </si>
  <si>
    <t>Direct individual ownership</t>
  </si>
  <si>
    <t>Supporting Documents</t>
  </si>
  <si>
    <t>2025 bank/brokerage statements</t>
  </si>
  <si>
    <t>Not Included</t>
  </si>
  <si>
    <t>Pending Verification Required</t>
  </si>
  <si>
    <t>Analysis</t>
  </si>
  <si>
    <t>Daniel Wong</t>
  </si>
  <si>
    <t>Filing Status</t>
  </si>
  <si>
    <t>Single</t>
  </si>
  <si>
    <t>Residence</t>
  </si>
  <si>
    <t>Specified Foreign Financial Assets</t>
  </si>
  <si>
    <t>Foreign bank and brokerage accounts</t>
  </si>
  <si>
    <t>Specified foreign financial asset</t>
  </si>
  <si>
    <t>Maximum Aggregate Value</t>
  </si>
  <si>
    <t>$92,487.18</t>
  </si>
  <si>
    <t>US Bank Account</t>
  </si>
  <si>
    <t>Excluded – domestic financial account</t>
  </si>
  <si>
    <t>Documentation Required</t>
  </si>
  <si>
    <t>Bank and brokerage statements</t>
  </si>
  <si>
    <t>Threshold Assessment</t>
  </si>
  <si>
    <t>Requires application of Form 8938 threshold rules</t>
  </si>
  <si>
    <t>Result</t>
  </si>
  <si>
    <t>yes</t>
  </si>
  <si>
    <t>Excluded</t>
  </si>
  <si>
    <t>Document</t>
  </si>
  <si>
    <t>Scenario</t>
  </si>
  <si>
    <t>Purpose / Review</t>
  </si>
  <si>
    <t>W-9</t>
  </si>
  <si>
    <t>US person receiving payments</t>
  </si>
  <si>
    <t>Confirm US taxpayer identification and certification</t>
  </si>
  <si>
    <t>W-8BEN</t>
  </si>
  <si>
    <t>Foreign individual receiving US-source income</t>
  </si>
  <si>
    <t>Document foreign status and applicable treaty claim</t>
  </si>
  <si>
    <t>W-8BEN-E</t>
  </si>
  <si>
    <t>Foreign entity receiving US-source income</t>
  </si>
  <si>
    <t>Document foreign entity status</t>
  </si>
  <si>
    <t>W-8ECI</t>
  </si>
  <si>
    <t>Foreign person claiming income effectively connected with a US trade or business</t>
  </si>
  <si>
    <t>Document effectively connected income claim</t>
  </si>
  <si>
    <t>W-8EXP</t>
  </si>
  <si>
    <t>Foreign tax-exempt organization</t>
  </si>
  <si>
    <t>Document foreign tax-exempt status</t>
  </si>
  <si>
    <t>W-8IMY</t>
  </si>
  <si>
    <t>Foreign intermediary or flow-through entity</t>
  </si>
  <si>
    <t>Document intermediary status and withholding information</t>
  </si>
  <si>
    <t>US citizen individual</t>
  </si>
  <si>
    <t>Generally uses Form W-9 when required as a US person</t>
  </si>
  <si>
    <t>Review Objective</t>
  </si>
  <si>
    <t>Documentation classification</t>
  </si>
  <si>
    <t>Determine appropriate IRS withholding certificate based on payee status</t>
  </si>
  <si>
    <t>Compliance Area</t>
  </si>
  <si>
    <t>Form / Requirement</t>
  </si>
  <si>
    <t>Status</t>
  </si>
  <si>
    <t>Key Data / Amount</t>
  </si>
  <si>
    <t>Review Note</t>
  </si>
  <si>
    <t>Worldwide Income</t>
  </si>
  <si>
    <t>Form 1040</t>
  </si>
  <si>
    <t>Completed</t>
  </si>
  <si>
    <t>$120,482.05</t>
  </si>
  <si>
    <t>All identified income items included in worldwide income analysis</t>
  </si>
  <si>
    <t>Form 2555</t>
  </si>
  <si>
    <t>In Review</t>
  </si>
  <si>
    <t>$100,000</t>
  </si>
  <si>
    <t>Eligibility and applicable exclusion limits require verification</t>
  </si>
  <si>
    <t>Form 1116</t>
  </si>
  <si>
    <t>$1,538.46</t>
  </si>
  <si>
    <t>Simulated foreign tax converted to USD; credit limitation requires analysis</t>
  </si>
  <si>
    <t>Foreign Financial Accounts</t>
  </si>
  <si>
    <t>FBAR / FinCEN 114</t>
  </si>
  <si>
    <t>Three foreign accounts included in aggregate analysis</t>
  </si>
  <si>
    <t>FATCA Assets</t>
  </si>
  <si>
    <t>Form 8938</t>
  </si>
  <si>
    <t>Specified foreign financial assets identified; threshold analysis required</t>
  </si>
  <si>
    <t>W-8 / W-9 Documentation</t>
  </si>
  <si>
    <t>W-8 / W-9</t>
  </si>
  <si>
    <t>N/A</t>
  </si>
  <si>
    <t>US person documentation classification reviewed</t>
  </si>
  <si>
    <t>Foreign Bank Account – HSBC</t>
  </si>
  <si>
    <t>FBAR</t>
  </si>
  <si>
    <t>Reviewed</t>
  </si>
  <si>
    <t>$35,897.44</t>
  </si>
  <si>
    <t>Foreign account identified</t>
  </si>
  <si>
    <t>Foreign Bank Account – Hang Seng</t>
  </si>
  <si>
    <t>$18,589.74</t>
  </si>
  <si>
    <t>Foreign Brokerage – Interactive Brokers</t>
  </si>
  <si>
    <t>FBAR / FATCA</t>
  </si>
  <si>
    <t>$38,000.00</t>
  </si>
  <si>
    <t>Foreign brokerage account identified</t>
  </si>
  <si>
    <t>Not applicable</t>
  </si>
  <si>
    <t>$12,000.00</t>
  </si>
  <si>
    <t>US account; excluded from foreign-account analysis</t>
  </si>
  <si>
    <t>Client records</t>
  </si>
  <si>
    <t>Bank, brokerage and income documentation simulated</t>
  </si>
  <si>
    <t>Quality Control</t>
  </si>
  <si>
    <t>Workpaper review</t>
  </si>
  <si>
    <t>In Progress</t>
  </si>
  <si>
    <t>Cross-check calculations and conclusions</t>
  </si>
  <si>
    <t>Overall Compliance Review</t>
  </si>
  <si>
    <t>2025 US International Tax</t>
  </si>
  <si>
    <t>Final review pending</t>
  </si>
  <si>
    <t>US INTERNATIONAL TAX COMPLIANCE</t>
  </si>
  <si>
    <t>2025 CLIENT WORKPAPER DASHBOARD</t>
  </si>
  <si>
    <t>Foreign-Sourced Income</t>
  </si>
  <si>
    <t>US-Sourced Income</t>
  </si>
  <si>
    <t>Foreign Account Value</t>
  </si>
  <si>
    <t>OVERALL STATUS</t>
  </si>
  <si>
    <t>Workpaper Preparation</t>
  </si>
  <si>
    <t>Substantially Complete</t>
  </si>
  <si>
    <t>Final Technical Review</t>
  </si>
  <si>
    <t>Pending</t>
  </si>
  <si>
    <t>Supporting Documentation</t>
  </si>
  <si>
    <t>Simulated</t>
  </si>
  <si>
    <t>OPEN REVIEW ITEMS</t>
  </si>
  <si>
    <t>Form 2555 eligibility</t>
  </si>
  <si>
    <t>Review</t>
  </si>
  <si>
    <t>Form 1116 limitation</t>
  </si>
  <si>
    <t>Form 8938 threshold</t>
  </si>
  <si>
    <t>Final QC</t>
  </si>
  <si>
    <t>Key Financial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</si>
</sst>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"/>
    <numFmt numFmtId="165" formatCode="_ * #,##0.0_ ;_ * \-#,##0.0_ ;_ * &quot;-&quot;??_ ;_ @_ "/>
    <numFmt numFmtId="166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  <xf numFmtId="0" fontId="1" fillId="0" borderId="0" xfId="0" applyFont="1"/>
    <xf numFmtId="3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3" fillId="0" borderId="2" xfId="0" applyFont="1" applyBorder="1" applyAlignment="1">
      <alignment vertical="center"/>
    </xf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1" fillId="0" borderId="2" xfId="0" applyFont="1" applyBorder="1"/>
    <xf numFmtId="0" fontId="1" fillId="0" borderId="1" xfId="0" applyFont="1" applyBorder="1"/>
    <xf numFmtId="166" fontId="0" fillId="0" borderId="0" xfId="0" applyNumberFormat="1"/>
    <xf numFmtId="166" fontId="0" fillId="0" borderId="1" xfId="1" applyNumberFormat="1" applyFont="1" applyBorder="1"/>
    <xf numFmtId="165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12" xfId="0" applyBorder="1"/>
    <xf numFmtId="43" fontId="0" fillId="0" borderId="6" xfId="1" applyFont="1" applyBorder="1"/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0" fontId="1" fillId="0" borderId="5" xfId="0" applyFont="1" applyBorder="1"/>
    <xf numFmtId="0" fontId="1" fillId="0" borderId="8" xfId="0" applyFont="1" applyBorder="1"/>
    <xf numFmtId="0" fontId="1" fillId="0" borderId="4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6" fillId="0" borderId="13" xfId="0" applyFont="1" applyBorder="1"/>
    <xf numFmtId="0" fontId="7" fillId="0" borderId="7" xfId="0" applyFont="1" applyBorder="1"/>
    <xf numFmtId="0" fontId="6" fillId="0" borderId="5" xfId="0" applyFont="1" applyBorder="1"/>
    <xf numFmtId="0" fontId="7" fillId="0" borderId="11" xfId="0" applyFont="1" applyBorder="1"/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4CD5-4109-4926-95E7-7EB343BC177E}">
  <dimension ref="G3:L22"/>
  <sheetViews>
    <sheetView showGridLines="0" tabSelected="1" workbookViewId="0">
      <selection activeCell="C11" sqref="C11"/>
    </sheetView>
  </sheetViews>
  <sheetFormatPr defaultRowHeight="14.4" x14ac:dyDescent="0.3"/>
  <sheetData>
    <row r="3" spans="9:12" ht="36.6" x14ac:dyDescent="0.7">
      <c r="I3" s="1" t="s">
        <v>0</v>
      </c>
    </row>
    <row r="5" spans="9:12" x14ac:dyDescent="0.3">
      <c r="J5" s="2"/>
    </row>
    <row r="6" spans="9:12" x14ac:dyDescent="0.3">
      <c r="I6" s="2" t="s">
        <v>1</v>
      </c>
      <c r="J6" s="2"/>
      <c r="L6" s="4">
        <v>2025</v>
      </c>
    </row>
    <row r="7" spans="9:12" x14ac:dyDescent="0.3">
      <c r="I7" s="3" t="s">
        <v>2</v>
      </c>
      <c r="J7" s="2"/>
      <c r="L7" s="4" t="s">
        <v>16</v>
      </c>
    </row>
    <row r="8" spans="9:12" x14ac:dyDescent="0.3">
      <c r="I8" s="2" t="s">
        <v>4</v>
      </c>
      <c r="J8" s="2"/>
      <c r="L8" s="4">
        <v>34</v>
      </c>
    </row>
    <row r="9" spans="9:12" x14ac:dyDescent="0.3">
      <c r="I9" t="s">
        <v>5</v>
      </c>
      <c r="J9" s="2"/>
      <c r="L9" s="4" t="s">
        <v>17</v>
      </c>
    </row>
    <row r="10" spans="9:12" x14ac:dyDescent="0.3">
      <c r="I10" s="3" t="s">
        <v>10</v>
      </c>
      <c r="J10" s="2"/>
      <c r="L10" s="4" t="s">
        <v>7</v>
      </c>
    </row>
    <row r="11" spans="9:12" x14ac:dyDescent="0.3">
      <c r="I11" s="3" t="s">
        <v>11</v>
      </c>
      <c r="J11" s="2"/>
      <c r="K11" s="2"/>
      <c r="L11" s="5">
        <v>45108</v>
      </c>
    </row>
    <row r="12" spans="9:12" x14ac:dyDescent="0.3">
      <c r="I12" s="3" t="s">
        <v>12</v>
      </c>
      <c r="J12" s="2"/>
      <c r="L12" s="4" t="s">
        <v>8</v>
      </c>
    </row>
    <row r="13" spans="9:12" x14ac:dyDescent="0.3">
      <c r="I13" s="3" t="s">
        <v>13</v>
      </c>
      <c r="J13" s="2"/>
      <c r="L13" s="4" t="s">
        <v>18</v>
      </c>
    </row>
    <row r="14" spans="9:12" x14ac:dyDescent="0.3">
      <c r="I14" s="3" t="s">
        <v>9</v>
      </c>
      <c r="J14" s="2"/>
      <c r="L14" s="4" t="s">
        <v>19</v>
      </c>
    </row>
    <row r="15" spans="9:12" x14ac:dyDescent="0.3">
      <c r="I15" s="3" t="s">
        <v>14</v>
      </c>
      <c r="J15" s="2"/>
      <c r="L15" s="4">
        <v>3</v>
      </c>
    </row>
    <row r="16" spans="9:12" x14ac:dyDescent="0.3">
      <c r="I16" s="3" t="s">
        <v>15</v>
      </c>
      <c r="J16" s="2"/>
      <c r="L16" s="4">
        <v>1</v>
      </c>
    </row>
    <row r="17" spans="7:10" x14ac:dyDescent="0.3">
      <c r="I17" s="2"/>
      <c r="J17" s="2"/>
    </row>
    <row r="20" spans="7:10" x14ac:dyDescent="0.3">
      <c r="G20" s="6" t="s">
        <v>20</v>
      </c>
      <c r="H20" t="s">
        <v>21</v>
      </c>
    </row>
    <row r="21" spans="7:10" x14ac:dyDescent="0.3">
      <c r="H21" t="s">
        <v>22</v>
      </c>
    </row>
    <row r="22" spans="7:10" x14ac:dyDescent="0.3">
      <c r="H22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EDA1-25C3-45A8-8BA4-69455503F82C}">
  <dimension ref="A1:M10"/>
  <sheetViews>
    <sheetView workbookViewId="0">
      <selection activeCell="E8" sqref="E8"/>
    </sheetView>
  </sheetViews>
  <sheetFormatPr defaultRowHeight="14.4" x14ac:dyDescent="0.3"/>
  <cols>
    <col min="1" max="12" width="11.77734375" customWidth="1"/>
  </cols>
  <sheetData>
    <row r="1" spans="1:13" ht="28.8" x14ac:dyDescent="0.3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9" t="s">
        <v>29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17" t="s">
        <v>52</v>
      </c>
      <c r="M1" s="19"/>
    </row>
    <row r="2" spans="1:13" ht="57.6" x14ac:dyDescent="0.3">
      <c r="A2" s="11" t="s">
        <v>30</v>
      </c>
      <c r="B2" s="11" t="s">
        <v>31</v>
      </c>
      <c r="C2" s="11" t="s">
        <v>6</v>
      </c>
      <c r="D2" s="11" t="s">
        <v>32</v>
      </c>
      <c r="E2" s="11" t="s">
        <v>33</v>
      </c>
      <c r="F2" s="12">
        <v>780000</v>
      </c>
      <c r="G2" s="13">
        <v>7.8</v>
      </c>
      <c r="H2" s="10">
        <f>IF(E2="USD",F2,F2/G2)</f>
        <v>100000</v>
      </c>
      <c r="I2" s="14" t="s">
        <v>53</v>
      </c>
      <c r="J2" s="15" t="s">
        <v>54</v>
      </c>
      <c r="K2" s="15" t="s">
        <v>59</v>
      </c>
      <c r="L2" s="10" t="s">
        <v>64</v>
      </c>
      <c r="M2" s="18"/>
    </row>
    <row r="3" spans="1:13" ht="43.2" x14ac:dyDescent="0.3">
      <c r="A3" s="11" t="s">
        <v>34</v>
      </c>
      <c r="B3" s="11" t="s">
        <v>35</v>
      </c>
      <c r="C3" s="11" t="s">
        <v>6</v>
      </c>
      <c r="D3" s="11" t="s">
        <v>36</v>
      </c>
      <c r="E3" s="11" t="s">
        <v>33</v>
      </c>
      <c r="F3" s="12">
        <v>8500</v>
      </c>
      <c r="G3" s="16">
        <v>7.8</v>
      </c>
      <c r="H3" s="10">
        <f t="shared" ref="H3:H6" si="0">IF(E3="USD",F3,F3/G3)</f>
        <v>1089.7435897435898</v>
      </c>
      <c r="I3" s="14" t="s">
        <v>53</v>
      </c>
      <c r="J3" s="11" t="s">
        <v>55</v>
      </c>
      <c r="K3" s="15" t="s">
        <v>60</v>
      </c>
      <c r="L3" s="10" t="s">
        <v>64</v>
      </c>
      <c r="M3" s="10"/>
    </row>
    <row r="4" spans="1:13" ht="43.2" x14ac:dyDescent="0.3">
      <c r="A4" s="11" t="s">
        <v>37</v>
      </c>
      <c r="B4" s="11" t="s">
        <v>38</v>
      </c>
      <c r="C4" s="11" t="s">
        <v>3</v>
      </c>
      <c r="D4" s="11" t="s">
        <v>39</v>
      </c>
      <c r="E4" s="11" t="s">
        <v>40</v>
      </c>
      <c r="F4" s="12">
        <v>4200</v>
      </c>
      <c r="G4" s="12">
        <v>1</v>
      </c>
      <c r="H4" s="10">
        <f t="shared" si="0"/>
        <v>4200</v>
      </c>
      <c r="I4" s="14" t="s">
        <v>16</v>
      </c>
      <c r="J4" s="15" t="s">
        <v>56</v>
      </c>
      <c r="K4" s="15" t="s">
        <v>61</v>
      </c>
      <c r="L4" s="10" t="s">
        <v>64</v>
      </c>
      <c r="M4" s="10"/>
    </row>
    <row r="5" spans="1:13" ht="43.2" x14ac:dyDescent="0.3">
      <c r="A5" s="11" t="s">
        <v>41</v>
      </c>
      <c r="B5" s="11" t="s">
        <v>42</v>
      </c>
      <c r="C5" s="11" t="s">
        <v>3</v>
      </c>
      <c r="D5" s="11" t="s">
        <v>43</v>
      </c>
      <c r="E5" s="11" t="s">
        <v>40</v>
      </c>
      <c r="F5" s="12">
        <v>7500</v>
      </c>
      <c r="G5" s="12">
        <v>1</v>
      </c>
      <c r="H5" s="10">
        <f t="shared" si="0"/>
        <v>7500</v>
      </c>
      <c r="I5" s="14" t="s">
        <v>16</v>
      </c>
      <c r="J5" s="15" t="s">
        <v>57</v>
      </c>
      <c r="K5" s="15" t="s">
        <v>62</v>
      </c>
      <c r="L5" s="10" t="s">
        <v>64</v>
      </c>
      <c r="M5" s="10"/>
    </row>
    <row r="6" spans="1:13" ht="43.2" x14ac:dyDescent="0.3">
      <c r="A6" s="11" t="s">
        <v>44</v>
      </c>
      <c r="B6" s="11" t="s">
        <v>45</v>
      </c>
      <c r="C6" s="11" t="s">
        <v>6</v>
      </c>
      <c r="D6" s="11" t="s">
        <v>46</v>
      </c>
      <c r="E6" s="11" t="s">
        <v>33</v>
      </c>
      <c r="F6" s="12">
        <v>60000</v>
      </c>
      <c r="G6" s="16">
        <v>7.8</v>
      </c>
      <c r="H6" s="10">
        <f t="shared" si="0"/>
        <v>7692.3076923076924</v>
      </c>
      <c r="I6" s="14" t="s">
        <v>53</v>
      </c>
      <c r="J6" s="15" t="s">
        <v>58</v>
      </c>
      <c r="K6" s="15" t="s">
        <v>63</v>
      </c>
      <c r="L6" s="10" t="s">
        <v>64</v>
      </c>
      <c r="M6" s="10"/>
    </row>
    <row r="7" spans="1:13" x14ac:dyDescent="0.3">
      <c r="B7" s="2"/>
      <c r="C7" s="2"/>
      <c r="D7" s="2"/>
      <c r="E7" s="2"/>
      <c r="F7" s="2"/>
      <c r="G7" s="7"/>
    </row>
    <row r="9" spans="1:13" ht="15.6" x14ac:dyDescent="0.3">
      <c r="A9" s="21" t="s">
        <v>65</v>
      </c>
      <c r="B9" s="22"/>
    </row>
    <row r="10" spans="1:13" ht="28.8" x14ac:dyDescent="0.3">
      <c r="A10" s="20" t="s">
        <v>66</v>
      </c>
      <c r="B10" s="19">
        <f>SUM(H2:H6)</f>
        <v>120482.05128205128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D069-AC13-4A9D-8343-9882216F37D6}">
  <dimension ref="A1:G8"/>
  <sheetViews>
    <sheetView workbookViewId="0">
      <selection activeCell="I9" sqref="I9"/>
    </sheetView>
  </sheetViews>
  <sheetFormatPr defaultColWidth="11.77734375" defaultRowHeight="14.4" x14ac:dyDescent="0.3"/>
  <sheetData>
    <row r="1" spans="1:7" ht="43.2" x14ac:dyDescent="0.3">
      <c r="A1" s="8" t="s">
        <v>28</v>
      </c>
      <c r="B1" s="8" t="s">
        <v>67</v>
      </c>
      <c r="C1" s="9" t="s">
        <v>68</v>
      </c>
      <c r="D1" s="8" t="s">
        <v>69</v>
      </c>
    </row>
    <row r="2" spans="1:7" ht="28.8" x14ac:dyDescent="0.3">
      <c r="A2" s="11" t="s">
        <v>33</v>
      </c>
      <c r="B2" s="11" t="s">
        <v>70</v>
      </c>
      <c r="C2" s="23">
        <v>7.8</v>
      </c>
      <c r="D2" s="11" t="s">
        <v>71</v>
      </c>
    </row>
    <row r="3" spans="1:7" ht="28.8" x14ac:dyDescent="0.3">
      <c r="A3" s="11" t="s">
        <v>40</v>
      </c>
      <c r="B3" s="11" t="s">
        <v>72</v>
      </c>
      <c r="C3" s="23">
        <v>1</v>
      </c>
      <c r="D3" s="11" t="s">
        <v>73</v>
      </c>
    </row>
    <row r="5" spans="1:7" x14ac:dyDescent="0.3">
      <c r="A5" s="31" t="s">
        <v>74</v>
      </c>
      <c r="B5" s="24"/>
      <c r="C5" s="24"/>
      <c r="D5" s="24"/>
      <c r="E5" s="24"/>
      <c r="F5" s="24"/>
      <c r="G5" s="25"/>
    </row>
    <row r="6" spans="1:7" x14ac:dyDescent="0.3">
      <c r="A6" s="26" t="s">
        <v>75</v>
      </c>
      <c r="G6" s="27"/>
    </row>
    <row r="7" spans="1:7" x14ac:dyDescent="0.3">
      <c r="A7" s="26" t="s">
        <v>76</v>
      </c>
      <c r="G7" s="27"/>
    </row>
    <row r="8" spans="1:7" x14ac:dyDescent="0.3">
      <c r="A8" s="28" t="s">
        <v>77</v>
      </c>
      <c r="B8" s="29"/>
      <c r="C8" s="29"/>
      <c r="D8" s="29"/>
      <c r="E8" s="29"/>
      <c r="F8" s="29"/>
      <c r="G8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14B6-4879-400C-8B2C-3A9342952BDC}">
  <dimension ref="A1:K9"/>
  <sheetViews>
    <sheetView workbookViewId="0">
      <selection activeCell="D12" sqref="D12"/>
    </sheetView>
  </sheetViews>
  <sheetFormatPr defaultColWidth="14.77734375" defaultRowHeight="14.4" x14ac:dyDescent="0.3"/>
  <sheetData>
    <row r="1" spans="1:11" ht="43.2" x14ac:dyDescent="0.3">
      <c r="A1" s="8" t="s">
        <v>78</v>
      </c>
      <c r="B1" s="8" t="s">
        <v>79</v>
      </c>
      <c r="C1" s="8" t="s">
        <v>80</v>
      </c>
      <c r="D1" s="8" t="s">
        <v>81</v>
      </c>
      <c r="E1" s="8" t="s">
        <v>28</v>
      </c>
      <c r="F1" s="9" t="s">
        <v>82</v>
      </c>
      <c r="G1" s="9" t="s">
        <v>83</v>
      </c>
      <c r="H1" s="9" t="s">
        <v>84</v>
      </c>
      <c r="I1" s="8" t="s">
        <v>85</v>
      </c>
      <c r="J1" s="8" t="s">
        <v>86</v>
      </c>
      <c r="K1" s="8" t="s">
        <v>52</v>
      </c>
    </row>
    <row r="2" spans="1:11" x14ac:dyDescent="0.3">
      <c r="A2" s="10" t="s">
        <v>87</v>
      </c>
      <c r="B2" s="10" t="s">
        <v>91</v>
      </c>
      <c r="C2" s="10" t="s">
        <v>17</v>
      </c>
      <c r="D2" s="10" t="s">
        <v>95</v>
      </c>
      <c r="E2" s="10" t="s">
        <v>33</v>
      </c>
      <c r="F2" s="33">
        <v>280000</v>
      </c>
      <c r="G2" s="34">
        <v>7.8</v>
      </c>
      <c r="H2" s="35">
        <f>F2/G2</f>
        <v>35897.435897435898</v>
      </c>
      <c r="I2" s="10" t="s">
        <v>97</v>
      </c>
      <c r="J2" s="10" t="s">
        <v>98</v>
      </c>
      <c r="K2" s="10" t="s">
        <v>99</v>
      </c>
    </row>
    <row r="3" spans="1:11" x14ac:dyDescent="0.3">
      <c r="A3" s="10" t="s">
        <v>88</v>
      </c>
      <c r="B3" s="10" t="s">
        <v>92</v>
      </c>
      <c r="C3" s="10" t="s">
        <v>17</v>
      </c>
      <c r="D3" s="10" t="s">
        <v>95</v>
      </c>
      <c r="E3" s="10" t="s">
        <v>33</v>
      </c>
      <c r="F3" s="33">
        <v>145000</v>
      </c>
      <c r="G3" s="10">
        <v>7.8</v>
      </c>
      <c r="H3" s="35">
        <f t="shared" ref="H3:H5" si="0">F3/G3</f>
        <v>18589.74358974359</v>
      </c>
      <c r="I3" s="10" t="s">
        <v>97</v>
      </c>
      <c r="J3" s="10" t="s">
        <v>98</v>
      </c>
      <c r="K3" s="10" t="s">
        <v>99</v>
      </c>
    </row>
    <row r="4" spans="1:11" x14ac:dyDescent="0.3">
      <c r="A4" s="10" t="s">
        <v>89</v>
      </c>
      <c r="B4" s="10" t="s">
        <v>93</v>
      </c>
      <c r="C4" s="10" t="s">
        <v>17</v>
      </c>
      <c r="D4" s="10" t="s">
        <v>96</v>
      </c>
      <c r="E4" s="10" t="s">
        <v>40</v>
      </c>
      <c r="F4" s="33">
        <v>38000</v>
      </c>
      <c r="G4" s="10">
        <v>1</v>
      </c>
      <c r="H4" s="36">
        <f t="shared" si="0"/>
        <v>38000</v>
      </c>
      <c r="I4" s="10" t="s">
        <v>97</v>
      </c>
      <c r="J4" s="10" t="s">
        <v>98</v>
      </c>
      <c r="K4" s="10" t="s">
        <v>99</v>
      </c>
    </row>
    <row r="5" spans="1:11" x14ac:dyDescent="0.3">
      <c r="A5" s="10" t="s">
        <v>90</v>
      </c>
      <c r="B5" s="10" t="s">
        <v>94</v>
      </c>
      <c r="C5" s="10" t="s">
        <v>16</v>
      </c>
      <c r="D5" s="10" t="s">
        <v>95</v>
      </c>
      <c r="E5" s="10" t="s">
        <v>40</v>
      </c>
      <c r="F5" s="33">
        <v>12000</v>
      </c>
      <c r="G5" s="10">
        <v>1</v>
      </c>
      <c r="H5" s="10">
        <f t="shared" si="0"/>
        <v>12000</v>
      </c>
      <c r="I5" s="10" t="s">
        <v>97</v>
      </c>
      <c r="J5" s="10" t="s">
        <v>98</v>
      </c>
      <c r="K5" s="10" t="s">
        <v>99</v>
      </c>
    </row>
    <row r="8" spans="1:11" x14ac:dyDescent="0.3">
      <c r="A8" s="30" t="s">
        <v>100</v>
      </c>
      <c r="B8" s="37"/>
      <c r="C8" s="38">
        <f>H2+H3+H4</f>
        <v>92487.179487179485</v>
      </c>
    </row>
    <row r="9" spans="1:11" x14ac:dyDescent="0.3">
      <c r="A9" s="32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78D5-2482-44B4-9CF0-4C0A6E8C2C9A}">
  <dimension ref="A1:E10"/>
  <sheetViews>
    <sheetView workbookViewId="0">
      <selection activeCell="E13" sqref="E13"/>
    </sheetView>
  </sheetViews>
  <sheetFormatPr defaultColWidth="11.77734375" defaultRowHeight="14.4" x14ac:dyDescent="0.3"/>
  <sheetData>
    <row r="1" spans="1:5" ht="43.2" x14ac:dyDescent="0.3">
      <c r="A1" s="8" t="s">
        <v>25</v>
      </c>
      <c r="B1" s="8" t="s">
        <v>26</v>
      </c>
      <c r="C1" s="9" t="s">
        <v>101</v>
      </c>
      <c r="D1" s="8" t="s">
        <v>102</v>
      </c>
      <c r="E1" s="8" t="s">
        <v>103</v>
      </c>
    </row>
    <row r="2" spans="1:5" x14ac:dyDescent="0.3">
      <c r="A2" s="11" t="s">
        <v>31</v>
      </c>
      <c r="B2" s="11" t="s">
        <v>6</v>
      </c>
      <c r="C2" s="13">
        <f>'Income Data'!H2</f>
        <v>100000</v>
      </c>
      <c r="D2" s="11" t="s">
        <v>53</v>
      </c>
      <c r="E2" s="11" t="s">
        <v>104</v>
      </c>
    </row>
    <row r="3" spans="1:5" ht="28.8" x14ac:dyDescent="0.3">
      <c r="A3" s="11" t="s">
        <v>35</v>
      </c>
      <c r="B3" s="11" t="s">
        <v>6</v>
      </c>
      <c r="C3" s="13">
        <f>'Income Data'!H3</f>
        <v>1089.7435897435898</v>
      </c>
      <c r="D3" s="11" t="s">
        <v>53</v>
      </c>
      <c r="E3" s="11" t="s">
        <v>105</v>
      </c>
    </row>
    <row r="4" spans="1:5" ht="28.8" x14ac:dyDescent="0.3">
      <c r="A4" s="11" t="s">
        <v>38</v>
      </c>
      <c r="B4" s="11" t="s">
        <v>3</v>
      </c>
      <c r="C4" s="13">
        <f>'Income Data'!H4</f>
        <v>4200</v>
      </c>
      <c r="D4" s="11" t="s">
        <v>16</v>
      </c>
      <c r="E4" s="11" t="s">
        <v>106</v>
      </c>
    </row>
    <row r="5" spans="1:5" ht="28.8" x14ac:dyDescent="0.3">
      <c r="A5" s="11" t="s">
        <v>42</v>
      </c>
      <c r="B5" s="11" t="s">
        <v>3</v>
      </c>
      <c r="C5" s="13">
        <f>'Income Data'!H5</f>
        <v>7500</v>
      </c>
      <c r="D5" s="11" t="s">
        <v>16</v>
      </c>
      <c r="E5" s="11" t="s">
        <v>107</v>
      </c>
    </row>
    <row r="6" spans="1:5" ht="43.2" x14ac:dyDescent="0.3">
      <c r="A6" s="11" t="s">
        <v>45</v>
      </c>
      <c r="B6" s="11" t="s">
        <v>6</v>
      </c>
      <c r="C6" s="13">
        <f>'Income Data'!H6</f>
        <v>7692.3076923076924</v>
      </c>
      <c r="D6" s="11" t="s">
        <v>53</v>
      </c>
      <c r="E6" s="11" t="s">
        <v>108</v>
      </c>
    </row>
    <row r="7" spans="1:5" ht="28.8" x14ac:dyDescent="0.3">
      <c r="A7" s="39" t="s">
        <v>109</v>
      </c>
      <c r="B7" s="11"/>
      <c r="C7" s="9">
        <f>SUM(C2:C6)</f>
        <v>120482.05128205128</v>
      </c>
      <c r="D7" s="11"/>
      <c r="E7" s="11"/>
    </row>
    <row r="9" spans="1:5" x14ac:dyDescent="0.3">
      <c r="A9" s="40" t="s">
        <v>110</v>
      </c>
      <c r="B9" s="24"/>
      <c r="C9" s="42">
        <f>SUMIF('Income Data'!I2:I6,"Foreign",'Income Data'!H2:H6)</f>
        <v>108782.05128205128</v>
      </c>
    </row>
    <row r="10" spans="1:5" x14ac:dyDescent="0.3">
      <c r="A10" s="41" t="s">
        <v>111</v>
      </c>
      <c r="B10" s="29"/>
      <c r="C10" s="43">
        <f>SUMIF('Income Data'!I2:I6,"US",'Income Data'!H2:H6)</f>
        <v>11700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D6D4-F6DA-4E71-923E-F693F8848FCE}">
  <dimension ref="A1:C17"/>
  <sheetViews>
    <sheetView workbookViewId="0">
      <selection activeCell="G5" sqref="G5"/>
    </sheetView>
  </sheetViews>
  <sheetFormatPr defaultColWidth="11.77734375" defaultRowHeight="14.4" x14ac:dyDescent="0.3"/>
  <cols>
    <col min="1" max="1" width="29.77734375" bestFit="1" customWidth="1"/>
    <col min="2" max="2" width="32.5546875" bestFit="1" customWidth="1"/>
    <col min="3" max="3" width="24.33203125" bestFit="1" customWidth="1"/>
    <col min="7" max="7" width="15.77734375" customWidth="1"/>
  </cols>
  <sheetData>
    <row r="1" spans="1:3" x14ac:dyDescent="0.3">
      <c r="A1" s="8" t="s">
        <v>112</v>
      </c>
      <c r="B1" s="8" t="s">
        <v>113</v>
      </c>
      <c r="C1" s="9" t="s">
        <v>114</v>
      </c>
    </row>
    <row r="2" spans="1:3" x14ac:dyDescent="0.3">
      <c r="A2" s="11" t="s">
        <v>115</v>
      </c>
      <c r="B2" s="11" t="s">
        <v>124</v>
      </c>
      <c r="C2" s="13"/>
    </row>
    <row r="3" spans="1:3" x14ac:dyDescent="0.3">
      <c r="A3" s="11" t="s">
        <v>1</v>
      </c>
      <c r="B3" s="11">
        <v>2025</v>
      </c>
      <c r="C3" s="13"/>
    </row>
    <row r="4" spans="1:3" x14ac:dyDescent="0.3">
      <c r="A4" s="11" t="s">
        <v>9</v>
      </c>
      <c r="B4" s="11" t="s">
        <v>116</v>
      </c>
      <c r="C4" s="13"/>
    </row>
    <row r="5" spans="1:3" x14ac:dyDescent="0.3">
      <c r="A5" s="11" t="s">
        <v>117</v>
      </c>
      <c r="B5" s="11" t="s">
        <v>118</v>
      </c>
      <c r="C5" s="13"/>
    </row>
    <row r="6" spans="1:3" x14ac:dyDescent="0.3">
      <c r="A6" s="11" t="s">
        <v>119</v>
      </c>
      <c r="B6" s="11"/>
      <c r="C6" s="13">
        <f>'Income Data'!H2</f>
        <v>100000</v>
      </c>
    </row>
    <row r="7" spans="1:3" x14ac:dyDescent="0.3">
      <c r="A7" s="11" t="s">
        <v>120</v>
      </c>
      <c r="B7" s="11" t="s">
        <v>6</v>
      </c>
      <c r="C7" s="9"/>
    </row>
    <row r="8" spans="1:3" x14ac:dyDescent="0.3">
      <c r="A8" s="11" t="s">
        <v>121</v>
      </c>
      <c r="B8" s="11" t="s">
        <v>122</v>
      </c>
      <c r="C8" s="13"/>
    </row>
    <row r="9" spans="1:3" x14ac:dyDescent="0.3">
      <c r="A9" s="11" t="s">
        <v>125</v>
      </c>
      <c r="B9" s="11">
        <v>2025</v>
      </c>
      <c r="C9" s="13"/>
    </row>
    <row r="10" spans="1:3" x14ac:dyDescent="0.3">
      <c r="A10" s="11" t="s">
        <v>123</v>
      </c>
      <c r="B10" s="11"/>
      <c r="C10" s="13">
        <f>C6</f>
        <v>100000</v>
      </c>
    </row>
    <row r="11" spans="1:3" x14ac:dyDescent="0.3">
      <c r="A11" s="11" t="s">
        <v>126</v>
      </c>
      <c r="B11" s="11" t="s">
        <v>6</v>
      </c>
      <c r="C11" s="44" t="s">
        <v>127</v>
      </c>
    </row>
    <row r="12" spans="1:3" x14ac:dyDescent="0.3">
      <c r="A12" s="10" t="s">
        <v>128</v>
      </c>
      <c r="B12" s="10" t="s">
        <v>129</v>
      </c>
      <c r="C12" s="10" t="s">
        <v>130</v>
      </c>
    </row>
    <row r="13" spans="1:3" x14ac:dyDescent="0.3">
      <c r="A13" s="10" t="s">
        <v>131</v>
      </c>
      <c r="B13" s="10" t="s">
        <v>132</v>
      </c>
      <c r="C13" s="10" t="s">
        <v>133</v>
      </c>
    </row>
    <row r="14" spans="1:3" x14ac:dyDescent="0.3">
      <c r="A14" s="10" t="s">
        <v>134</v>
      </c>
      <c r="B14" s="10" t="s">
        <v>135</v>
      </c>
      <c r="C14" s="10" t="s">
        <v>136</v>
      </c>
    </row>
    <row r="15" spans="1:3" x14ac:dyDescent="0.3">
      <c r="A15" s="10" t="s">
        <v>137</v>
      </c>
      <c r="B15" s="10" t="s">
        <v>138</v>
      </c>
      <c r="C15" s="10" t="s">
        <v>133</v>
      </c>
    </row>
    <row r="16" spans="1:3" x14ac:dyDescent="0.3">
      <c r="A16" s="10" t="s">
        <v>139</v>
      </c>
      <c r="B16" s="10" t="s">
        <v>59</v>
      </c>
      <c r="C16" s="10" t="s">
        <v>140</v>
      </c>
    </row>
    <row r="17" spans="1:3" x14ac:dyDescent="0.3">
      <c r="A17" s="10" t="s">
        <v>52</v>
      </c>
      <c r="B17" s="10" t="s">
        <v>99</v>
      </c>
      <c r="C17" s="10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1282-21EB-4E5B-BD7B-C1ABA5F6B25B}">
  <dimension ref="A1:C16"/>
  <sheetViews>
    <sheetView workbookViewId="0">
      <selection activeCell="I7" sqref="I7"/>
    </sheetView>
  </sheetViews>
  <sheetFormatPr defaultRowHeight="14.4" x14ac:dyDescent="0.3"/>
  <cols>
    <col min="1" max="1" width="31.6640625" bestFit="1" customWidth="1"/>
    <col min="2" max="2" width="31.44140625" bestFit="1" customWidth="1"/>
    <col min="3" max="3" width="24.33203125" bestFit="1" customWidth="1"/>
  </cols>
  <sheetData>
    <row r="1" spans="1:3" x14ac:dyDescent="0.3">
      <c r="A1" s="31" t="s">
        <v>112</v>
      </c>
      <c r="B1" s="31" t="s">
        <v>113</v>
      </c>
      <c r="C1" s="31" t="s">
        <v>114</v>
      </c>
    </row>
    <row r="2" spans="1:3" x14ac:dyDescent="0.3">
      <c r="A2" s="10" t="s">
        <v>115</v>
      </c>
      <c r="B2" s="10" t="s">
        <v>124</v>
      </c>
      <c r="C2" s="10"/>
    </row>
    <row r="3" spans="1:3" x14ac:dyDescent="0.3">
      <c r="A3" s="10" t="s">
        <v>1</v>
      </c>
      <c r="B3" s="45">
        <v>2025</v>
      </c>
      <c r="C3" s="10"/>
    </row>
    <row r="4" spans="1:3" x14ac:dyDescent="0.3">
      <c r="A4" s="10" t="s">
        <v>120</v>
      </c>
      <c r="B4" s="10" t="s">
        <v>6</v>
      </c>
      <c r="C4" s="10"/>
    </row>
    <row r="5" spans="1:3" x14ac:dyDescent="0.3">
      <c r="A5" s="10" t="s">
        <v>123</v>
      </c>
      <c r="B5" s="10" t="s">
        <v>135</v>
      </c>
      <c r="C5" s="10">
        <f>'Income Data'!H2</f>
        <v>100000</v>
      </c>
    </row>
    <row r="6" spans="1:3" x14ac:dyDescent="0.3">
      <c r="A6" s="10" t="s">
        <v>142</v>
      </c>
      <c r="B6" s="10" t="s">
        <v>143</v>
      </c>
      <c r="C6" s="10">
        <f>'Income Data'!H3</f>
        <v>1089.7435897435898</v>
      </c>
    </row>
    <row r="7" spans="1:3" x14ac:dyDescent="0.3">
      <c r="A7" s="10" t="s">
        <v>144</v>
      </c>
      <c r="B7" s="10"/>
      <c r="C7" s="10">
        <f>SUM(C5:C6)</f>
        <v>101089.74358974359</v>
      </c>
    </row>
    <row r="8" spans="1:3" x14ac:dyDescent="0.3">
      <c r="A8" s="10" t="s">
        <v>145</v>
      </c>
      <c r="B8" s="10" t="s">
        <v>146</v>
      </c>
      <c r="C8" s="10">
        <v>12000</v>
      </c>
    </row>
    <row r="9" spans="1:3" x14ac:dyDescent="0.3">
      <c r="A9" s="10" t="s">
        <v>147</v>
      </c>
      <c r="B9" s="10" t="s">
        <v>33</v>
      </c>
      <c r="C9" s="10"/>
    </row>
    <row r="10" spans="1:3" x14ac:dyDescent="0.3">
      <c r="A10" s="10" t="s">
        <v>148</v>
      </c>
      <c r="B10" s="10" t="s">
        <v>71</v>
      </c>
      <c r="C10" s="10">
        <v>7.8</v>
      </c>
    </row>
    <row r="11" spans="1:3" x14ac:dyDescent="0.3">
      <c r="A11" s="10" t="s">
        <v>149</v>
      </c>
      <c r="B11" s="10"/>
      <c r="C11" s="10">
        <f>C8/C10</f>
        <v>1538.4615384615386</v>
      </c>
    </row>
    <row r="12" spans="1:3" x14ac:dyDescent="0.3">
      <c r="A12" s="10" t="s">
        <v>150</v>
      </c>
      <c r="B12" s="10" t="s">
        <v>151</v>
      </c>
      <c r="C12" s="10" t="s">
        <v>133</v>
      </c>
    </row>
    <row r="13" spans="1:3" x14ac:dyDescent="0.3">
      <c r="A13" s="10" t="s">
        <v>152</v>
      </c>
      <c r="B13" s="10" t="s">
        <v>153</v>
      </c>
      <c r="C13" s="10" t="s">
        <v>133</v>
      </c>
    </row>
    <row r="14" spans="1:3" x14ac:dyDescent="0.3">
      <c r="A14" s="10" t="s">
        <v>154</v>
      </c>
      <c r="B14" s="10" t="s">
        <v>155</v>
      </c>
      <c r="C14" s="10" t="s">
        <v>133</v>
      </c>
    </row>
    <row r="15" spans="1:3" x14ac:dyDescent="0.3">
      <c r="A15" s="10" t="s">
        <v>139</v>
      </c>
      <c r="B15" s="10" t="s">
        <v>156</v>
      </c>
      <c r="C15" s="10" t="s">
        <v>157</v>
      </c>
    </row>
    <row r="16" spans="1:3" x14ac:dyDescent="0.3">
      <c r="A16" s="10" t="s">
        <v>52</v>
      </c>
      <c r="B16" s="10" t="s">
        <v>99</v>
      </c>
      <c r="C16" s="10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DAAC-CFBF-47D2-A305-F05092269E6D}">
  <dimension ref="A1:C14"/>
  <sheetViews>
    <sheetView workbookViewId="0">
      <selection activeCell="G12" sqref="G12"/>
    </sheetView>
  </sheetViews>
  <sheetFormatPr defaultRowHeight="14.4" x14ac:dyDescent="0.3"/>
  <cols>
    <col min="1" max="1" width="28.109375" bestFit="1" customWidth="1"/>
    <col min="2" max="2" width="46.6640625" bestFit="1" customWidth="1"/>
    <col min="3" max="3" width="25.21875" bestFit="1" customWidth="1"/>
  </cols>
  <sheetData>
    <row r="1" spans="1:3" x14ac:dyDescent="0.3">
      <c r="A1" s="31" t="s">
        <v>112</v>
      </c>
      <c r="B1" s="31" t="s">
        <v>113</v>
      </c>
      <c r="C1" s="31" t="s">
        <v>29</v>
      </c>
    </row>
    <row r="2" spans="1:3" x14ac:dyDescent="0.3">
      <c r="A2" s="10" t="s">
        <v>115</v>
      </c>
      <c r="B2" s="10" t="s">
        <v>124</v>
      </c>
      <c r="C2" s="10"/>
    </row>
    <row r="3" spans="1:3" x14ac:dyDescent="0.3">
      <c r="A3" s="10" t="s">
        <v>1</v>
      </c>
      <c r="B3" s="45">
        <v>2025</v>
      </c>
      <c r="C3" s="10"/>
    </row>
    <row r="4" spans="1:3" x14ac:dyDescent="0.3">
      <c r="A4" s="10" t="s">
        <v>158</v>
      </c>
      <c r="B4" s="10" t="s">
        <v>159</v>
      </c>
      <c r="C4" s="10"/>
    </row>
    <row r="5" spans="1:3" x14ac:dyDescent="0.3">
      <c r="A5" s="10" t="s">
        <v>160</v>
      </c>
      <c r="B5" s="10" t="s">
        <v>161</v>
      </c>
      <c r="C5" s="10"/>
    </row>
    <row r="6" spans="1:3" x14ac:dyDescent="0.3">
      <c r="A6" s="10" t="s">
        <v>162</v>
      </c>
      <c r="B6" s="10" t="s">
        <v>163</v>
      </c>
      <c r="C6" s="45">
        <v>35897.440000000002</v>
      </c>
    </row>
    <row r="7" spans="1:3" x14ac:dyDescent="0.3">
      <c r="A7" s="10" t="s">
        <v>92</v>
      </c>
      <c r="B7" s="10" t="s">
        <v>163</v>
      </c>
      <c r="C7" s="45">
        <v>18589.740000000002</v>
      </c>
    </row>
    <row r="8" spans="1:3" x14ac:dyDescent="0.3">
      <c r="A8" s="10" t="s">
        <v>164</v>
      </c>
      <c r="B8" s="10" t="s">
        <v>165</v>
      </c>
      <c r="C8" s="45">
        <v>38000</v>
      </c>
    </row>
    <row r="9" spans="1:3" x14ac:dyDescent="0.3">
      <c r="A9" s="10" t="s">
        <v>166</v>
      </c>
      <c r="B9" s="10"/>
      <c r="C9" s="45">
        <f>SUM(C6:C8)</f>
        <v>92487.180000000008</v>
      </c>
    </row>
    <row r="10" spans="1:3" x14ac:dyDescent="0.3">
      <c r="A10" s="10" t="s">
        <v>94</v>
      </c>
      <c r="B10" s="10" t="s">
        <v>167</v>
      </c>
      <c r="C10" s="10" t="s">
        <v>174</v>
      </c>
    </row>
    <row r="11" spans="1:3" x14ac:dyDescent="0.3">
      <c r="A11" s="10" t="s">
        <v>168</v>
      </c>
      <c r="B11" s="10" t="s">
        <v>169</v>
      </c>
      <c r="C11" s="10" t="s">
        <v>133</v>
      </c>
    </row>
    <row r="12" spans="1:3" x14ac:dyDescent="0.3">
      <c r="A12" s="10" t="s">
        <v>170</v>
      </c>
      <c r="B12" s="10" t="s">
        <v>171</v>
      </c>
      <c r="C12" s="10" t="s">
        <v>7</v>
      </c>
    </row>
    <row r="13" spans="1:3" x14ac:dyDescent="0.3">
      <c r="A13" s="10" t="s">
        <v>172</v>
      </c>
      <c r="B13" s="10" t="s">
        <v>173</v>
      </c>
      <c r="C13" s="10" t="s">
        <v>140</v>
      </c>
    </row>
    <row r="14" spans="1:3" x14ac:dyDescent="0.3">
      <c r="A14" s="10" t="s">
        <v>52</v>
      </c>
      <c r="B14" s="10" t="s">
        <v>99</v>
      </c>
      <c r="C14" s="10" t="s">
        <v>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0592-8752-43CA-89F6-F3A6CE0AD22D}">
  <dimension ref="A1:C13"/>
  <sheetViews>
    <sheetView workbookViewId="0">
      <selection activeCell="F9" sqref="F9"/>
    </sheetView>
  </sheetViews>
  <sheetFormatPr defaultRowHeight="14.4" x14ac:dyDescent="0.3"/>
  <cols>
    <col min="1" max="1" width="28.33203125" bestFit="1" customWidth="1"/>
    <col min="2" max="2" width="42.109375" bestFit="1" customWidth="1"/>
    <col min="3" max="3" width="14.6640625" bestFit="1" customWidth="1"/>
  </cols>
  <sheetData>
    <row r="1" spans="1:3" x14ac:dyDescent="0.3">
      <c r="A1" s="31" t="s">
        <v>112</v>
      </c>
      <c r="B1" s="31" t="s">
        <v>176</v>
      </c>
      <c r="C1" s="31" t="s">
        <v>192</v>
      </c>
    </row>
    <row r="2" spans="1:3" x14ac:dyDescent="0.3">
      <c r="A2" s="10" t="s">
        <v>115</v>
      </c>
      <c r="B2" s="10" t="s">
        <v>124</v>
      </c>
      <c r="C2" s="10"/>
    </row>
    <row r="3" spans="1:3" x14ac:dyDescent="0.3">
      <c r="A3" s="10" t="s">
        <v>1</v>
      </c>
      <c r="B3" s="45">
        <v>2025</v>
      </c>
      <c r="C3" s="10"/>
    </row>
    <row r="4" spans="1:3" x14ac:dyDescent="0.3">
      <c r="A4" s="10" t="s">
        <v>178</v>
      </c>
      <c r="B4" s="10" t="s">
        <v>179</v>
      </c>
      <c r="C4" s="10"/>
    </row>
    <row r="5" spans="1:3" x14ac:dyDescent="0.3">
      <c r="A5" s="10" t="s">
        <v>180</v>
      </c>
      <c r="B5" s="10" t="s">
        <v>6</v>
      </c>
      <c r="C5" s="10"/>
    </row>
    <row r="6" spans="1:3" x14ac:dyDescent="0.3">
      <c r="A6" s="10" t="s">
        <v>181</v>
      </c>
      <c r="B6" s="10" t="s">
        <v>182</v>
      </c>
      <c r="C6" s="10" t="s">
        <v>193</v>
      </c>
    </row>
    <row r="7" spans="1:3" x14ac:dyDescent="0.3">
      <c r="A7" s="10" t="s">
        <v>162</v>
      </c>
      <c r="B7" s="10" t="s">
        <v>183</v>
      </c>
      <c r="C7" s="10" t="s">
        <v>193</v>
      </c>
    </row>
    <row r="8" spans="1:3" x14ac:dyDescent="0.3">
      <c r="A8" s="10" t="s">
        <v>92</v>
      </c>
      <c r="B8" s="10" t="s">
        <v>183</v>
      </c>
      <c r="C8" s="10" t="s">
        <v>193</v>
      </c>
    </row>
    <row r="9" spans="1:3" x14ac:dyDescent="0.3">
      <c r="A9" s="10" t="s">
        <v>164</v>
      </c>
      <c r="B9" s="10" t="s">
        <v>183</v>
      </c>
      <c r="C9" s="10" t="s">
        <v>193</v>
      </c>
    </row>
    <row r="10" spans="1:3" x14ac:dyDescent="0.3">
      <c r="A10" s="10" t="s">
        <v>184</v>
      </c>
      <c r="B10" s="10" t="s">
        <v>185</v>
      </c>
      <c r="C10" s="46">
        <v>92487.18</v>
      </c>
    </row>
    <row r="11" spans="1:3" x14ac:dyDescent="0.3">
      <c r="A11" s="10" t="s">
        <v>186</v>
      </c>
      <c r="B11" s="10" t="s">
        <v>187</v>
      </c>
      <c r="C11" s="10" t="s">
        <v>194</v>
      </c>
    </row>
    <row r="12" spans="1:3" x14ac:dyDescent="0.3">
      <c r="A12" s="10" t="s">
        <v>188</v>
      </c>
      <c r="B12" s="10" t="s">
        <v>189</v>
      </c>
      <c r="C12" s="10" t="s">
        <v>140</v>
      </c>
    </row>
    <row r="13" spans="1:3" x14ac:dyDescent="0.3">
      <c r="A13" s="10" t="s">
        <v>190</v>
      </c>
      <c r="B13" s="10" t="s">
        <v>191</v>
      </c>
      <c r="C13" s="10" t="s">
        <v>133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1AE0-0668-45C1-AF9D-B2CA14130BA4}">
  <dimension ref="A1:C9"/>
  <sheetViews>
    <sheetView workbookViewId="0">
      <selection sqref="A1:C9"/>
    </sheetView>
  </sheetViews>
  <sheetFormatPr defaultRowHeight="14.4" x14ac:dyDescent="0.3"/>
  <cols>
    <col min="1" max="1" width="15.109375" bestFit="1" customWidth="1"/>
    <col min="2" max="2" width="68.44140625" bestFit="1" customWidth="1"/>
    <col min="3" max="3" width="61" bestFit="1" customWidth="1"/>
  </cols>
  <sheetData>
    <row r="1" spans="1:3" x14ac:dyDescent="0.3">
      <c r="A1" s="31" t="s">
        <v>195</v>
      </c>
      <c r="B1" s="31" t="s">
        <v>196</v>
      </c>
      <c r="C1" s="31" t="s">
        <v>197</v>
      </c>
    </row>
    <row r="2" spans="1:3" x14ac:dyDescent="0.3">
      <c r="A2" s="10" t="s">
        <v>198</v>
      </c>
      <c r="B2" s="10" t="s">
        <v>199</v>
      </c>
      <c r="C2" s="10" t="s">
        <v>200</v>
      </c>
    </row>
    <row r="3" spans="1:3" x14ac:dyDescent="0.3">
      <c r="A3" s="10" t="s">
        <v>201</v>
      </c>
      <c r="B3" s="10" t="s">
        <v>202</v>
      </c>
      <c r="C3" s="10" t="s">
        <v>203</v>
      </c>
    </row>
    <row r="4" spans="1:3" x14ac:dyDescent="0.3">
      <c r="A4" s="10" t="s">
        <v>204</v>
      </c>
      <c r="B4" s="10" t="s">
        <v>205</v>
      </c>
      <c r="C4" s="10" t="s">
        <v>206</v>
      </c>
    </row>
    <row r="5" spans="1:3" x14ac:dyDescent="0.3">
      <c r="A5" s="10" t="s">
        <v>207</v>
      </c>
      <c r="B5" s="10" t="s">
        <v>208</v>
      </c>
      <c r="C5" s="10" t="s">
        <v>209</v>
      </c>
    </row>
    <row r="6" spans="1:3" x14ac:dyDescent="0.3">
      <c r="A6" s="10" t="s">
        <v>210</v>
      </c>
      <c r="B6" s="10" t="s">
        <v>211</v>
      </c>
      <c r="C6" s="10" t="s">
        <v>212</v>
      </c>
    </row>
    <row r="7" spans="1:3" x14ac:dyDescent="0.3">
      <c r="A7" s="10" t="s">
        <v>213</v>
      </c>
      <c r="B7" s="10" t="s">
        <v>214</v>
      </c>
      <c r="C7" s="10" t="s">
        <v>215</v>
      </c>
    </row>
    <row r="8" spans="1:3" x14ac:dyDescent="0.3">
      <c r="A8" s="10" t="s">
        <v>177</v>
      </c>
      <c r="B8" s="10" t="s">
        <v>216</v>
      </c>
      <c r="C8" s="10" t="s">
        <v>217</v>
      </c>
    </row>
    <row r="9" spans="1:3" x14ac:dyDescent="0.3">
      <c r="A9" s="10" t="s">
        <v>218</v>
      </c>
      <c r="B9" s="10" t="s">
        <v>219</v>
      </c>
      <c r="C9" s="10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7C49-C104-4EC2-8519-DDE5F43D2495}">
  <dimension ref="A1:E14"/>
  <sheetViews>
    <sheetView workbookViewId="0"/>
  </sheetViews>
  <sheetFormatPr defaultRowHeight="14.4" x14ac:dyDescent="0.3"/>
  <cols>
    <col min="1" max="1" width="33.77734375" bestFit="1" customWidth="1"/>
    <col min="2" max="2" width="22.33203125" bestFit="1" customWidth="1"/>
    <col min="3" max="3" width="9.88671875" bestFit="1" customWidth="1"/>
    <col min="4" max="4" width="16.44140625" bestFit="1" customWidth="1"/>
    <col min="5" max="5" width="62" bestFit="1" customWidth="1"/>
  </cols>
  <sheetData>
    <row r="1" spans="1:5" x14ac:dyDescent="0.3">
      <c r="A1" s="31" t="s">
        <v>221</v>
      </c>
      <c r="B1" s="31" t="s">
        <v>222</v>
      </c>
      <c r="C1" s="31" t="s">
        <v>223</v>
      </c>
      <c r="D1" s="31" t="s">
        <v>224</v>
      </c>
      <c r="E1" s="31" t="s">
        <v>225</v>
      </c>
    </row>
    <row r="2" spans="1:5" x14ac:dyDescent="0.3">
      <c r="A2" s="10" t="s">
        <v>226</v>
      </c>
      <c r="B2" s="10" t="s">
        <v>227</v>
      </c>
      <c r="C2" s="10" t="s">
        <v>228</v>
      </c>
      <c r="D2" s="10" t="s">
        <v>229</v>
      </c>
      <c r="E2" s="10" t="s">
        <v>230</v>
      </c>
    </row>
    <row r="3" spans="1:5" x14ac:dyDescent="0.3">
      <c r="A3" s="10" t="s">
        <v>123</v>
      </c>
      <c r="B3" s="10" t="s">
        <v>231</v>
      </c>
      <c r="C3" s="10" t="s">
        <v>232</v>
      </c>
      <c r="D3" s="10" t="s">
        <v>233</v>
      </c>
      <c r="E3" s="10" t="s">
        <v>234</v>
      </c>
    </row>
    <row r="4" spans="1:5" x14ac:dyDescent="0.3">
      <c r="A4" s="10" t="s">
        <v>150</v>
      </c>
      <c r="B4" s="10" t="s">
        <v>235</v>
      </c>
      <c r="C4" s="10" t="s">
        <v>232</v>
      </c>
      <c r="D4" s="10" t="s">
        <v>236</v>
      </c>
      <c r="E4" s="10" t="s">
        <v>237</v>
      </c>
    </row>
    <row r="5" spans="1:5" x14ac:dyDescent="0.3">
      <c r="A5" s="10" t="s">
        <v>238</v>
      </c>
      <c r="B5" s="10" t="s">
        <v>239</v>
      </c>
      <c r="C5" s="10" t="s">
        <v>228</v>
      </c>
      <c r="D5" s="10" t="s">
        <v>185</v>
      </c>
      <c r="E5" s="10" t="s">
        <v>240</v>
      </c>
    </row>
    <row r="6" spans="1:5" x14ac:dyDescent="0.3">
      <c r="A6" s="10" t="s">
        <v>241</v>
      </c>
      <c r="B6" s="10" t="s">
        <v>242</v>
      </c>
      <c r="C6" s="10" t="s">
        <v>232</v>
      </c>
      <c r="D6" s="10" t="s">
        <v>185</v>
      </c>
      <c r="E6" s="10" t="s">
        <v>243</v>
      </c>
    </row>
    <row r="7" spans="1:5" x14ac:dyDescent="0.3">
      <c r="A7" s="10" t="s">
        <v>244</v>
      </c>
      <c r="B7" s="10" t="s">
        <v>245</v>
      </c>
      <c r="C7" s="10" t="s">
        <v>228</v>
      </c>
      <c r="D7" s="10" t="s">
        <v>246</v>
      </c>
      <c r="E7" s="10" t="s">
        <v>247</v>
      </c>
    </row>
    <row r="8" spans="1:5" x14ac:dyDescent="0.3">
      <c r="A8" s="10" t="s">
        <v>248</v>
      </c>
      <c r="B8" s="10" t="s">
        <v>249</v>
      </c>
      <c r="C8" s="10" t="s">
        <v>250</v>
      </c>
      <c r="D8" s="10" t="s">
        <v>251</v>
      </c>
      <c r="E8" s="10" t="s">
        <v>252</v>
      </c>
    </row>
    <row r="9" spans="1:5" x14ac:dyDescent="0.3">
      <c r="A9" s="10" t="s">
        <v>253</v>
      </c>
      <c r="B9" s="10" t="s">
        <v>249</v>
      </c>
      <c r="C9" s="10" t="s">
        <v>250</v>
      </c>
      <c r="D9" s="10" t="s">
        <v>254</v>
      </c>
      <c r="E9" s="10" t="s">
        <v>252</v>
      </c>
    </row>
    <row r="10" spans="1:5" x14ac:dyDescent="0.3">
      <c r="A10" s="10" t="s">
        <v>255</v>
      </c>
      <c r="B10" s="10" t="s">
        <v>256</v>
      </c>
      <c r="C10" s="10" t="s">
        <v>250</v>
      </c>
      <c r="D10" s="10" t="s">
        <v>257</v>
      </c>
      <c r="E10" s="10" t="s">
        <v>258</v>
      </c>
    </row>
    <row r="11" spans="1:5" x14ac:dyDescent="0.3">
      <c r="A11" s="10" t="s">
        <v>186</v>
      </c>
      <c r="B11" s="10" t="s">
        <v>259</v>
      </c>
      <c r="C11" s="10" t="s">
        <v>250</v>
      </c>
      <c r="D11" s="10" t="s">
        <v>260</v>
      </c>
      <c r="E11" s="10" t="s">
        <v>261</v>
      </c>
    </row>
    <row r="12" spans="1:5" x14ac:dyDescent="0.3">
      <c r="A12" s="10" t="s">
        <v>172</v>
      </c>
      <c r="B12" s="10" t="s">
        <v>262</v>
      </c>
      <c r="C12" s="10" t="s">
        <v>140</v>
      </c>
      <c r="D12" s="10" t="s">
        <v>246</v>
      </c>
      <c r="E12" s="10" t="s">
        <v>263</v>
      </c>
    </row>
    <row r="13" spans="1:5" x14ac:dyDescent="0.3">
      <c r="A13" s="10" t="s">
        <v>264</v>
      </c>
      <c r="B13" s="10" t="s">
        <v>265</v>
      </c>
      <c r="C13" s="10" t="s">
        <v>266</v>
      </c>
      <c r="D13" s="10" t="s">
        <v>246</v>
      </c>
      <c r="E13" s="10" t="s">
        <v>267</v>
      </c>
    </row>
    <row r="14" spans="1:5" x14ac:dyDescent="0.3">
      <c r="A14" s="10" t="s">
        <v>268</v>
      </c>
      <c r="B14" s="10" t="s">
        <v>269</v>
      </c>
      <c r="C14" s="10"/>
      <c r="D14" s="10" t="s">
        <v>266</v>
      </c>
      <c r="E14" s="10" t="s">
        <v>270</v>
      </c>
    </row>
  </sheetData>
  <conditionalFormatting sqref="A1:E1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C115-B549-4CC9-9C30-67252EE7AF0D}">
  <dimension ref="A1:F23"/>
  <sheetViews>
    <sheetView workbookViewId="0">
      <selection activeCell="A10" sqref="A10"/>
    </sheetView>
  </sheetViews>
  <sheetFormatPr defaultColWidth="15.77734375" defaultRowHeight="14.4" x14ac:dyDescent="0.3"/>
  <cols>
    <col min="1" max="1" width="23.109375" bestFit="1" customWidth="1"/>
    <col min="2" max="2" width="19.77734375" bestFit="1" customWidth="1"/>
    <col min="4" max="4" width="18.44140625" bestFit="1" customWidth="1"/>
  </cols>
  <sheetData>
    <row r="1" spans="1:6" ht="21" x14ac:dyDescent="0.4">
      <c r="A1" s="47" t="s">
        <v>271</v>
      </c>
      <c r="B1" s="48"/>
      <c r="C1" s="24"/>
      <c r="D1" s="24"/>
      <c r="E1" s="24"/>
      <c r="F1" s="25"/>
    </row>
    <row r="2" spans="1:6" ht="21" x14ac:dyDescent="0.4">
      <c r="A2" s="49" t="s">
        <v>272</v>
      </c>
      <c r="B2" s="50"/>
      <c r="C2" s="29"/>
      <c r="D2" s="29"/>
      <c r="E2" s="29"/>
      <c r="F2" s="19"/>
    </row>
    <row r="3" spans="1:6" x14ac:dyDescent="0.3">
      <c r="A3" s="10" t="s">
        <v>115</v>
      </c>
      <c r="B3" s="10" t="s">
        <v>124</v>
      </c>
    </row>
    <row r="4" spans="1:6" x14ac:dyDescent="0.3">
      <c r="A4" s="51" t="s">
        <v>1</v>
      </c>
      <c r="B4" s="52">
        <v>2025</v>
      </c>
    </row>
    <row r="5" spans="1:6" x14ac:dyDescent="0.3">
      <c r="A5" s="11" t="s">
        <v>180</v>
      </c>
      <c r="B5" s="11" t="s">
        <v>6</v>
      </c>
    </row>
    <row r="6" spans="1:6" x14ac:dyDescent="0.3">
      <c r="A6" s="11" t="s">
        <v>2</v>
      </c>
      <c r="B6" s="11" t="s">
        <v>3</v>
      </c>
    </row>
    <row r="7" spans="1:6" x14ac:dyDescent="0.3">
      <c r="A7" s="11" t="s">
        <v>178</v>
      </c>
      <c r="B7" s="11" t="s">
        <v>179</v>
      </c>
    </row>
    <row r="8" spans="1:6" x14ac:dyDescent="0.3">
      <c r="A8" s="2"/>
      <c r="B8" s="2"/>
    </row>
    <row r="9" spans="1:6" x14ac:dyDescent="0.3">
      <c r="A9" s="2"/>
      <c r="B9" s="2"/>
    </row>
    <row r="10" spans="1:6" x14ac:dyDescent="0.3">
      <c r="A10" s="11" t="s">
        <v>289</v>
      </c>
      <c r="B10" s="11" t="s">
        <v>29</v>
      </c>
    </row>
    <row r="11" spans="1:6" x14ac:dyDescent="0.3">
      <c r="A11" s="11" t="s">
        <v>226</v>
      </c>
      <c r="B11" s="44">
        <f>'Form 1040 WP'!C7</f>
        <v>120482.05128205128</v>
      </c>
    </row>
    <row r="12" spans="1:6" x14ac:dyDescent="0.3">
      <c r="A12" s="11" t="s">
        <v>273</v>
      </c>
      <c r="B12" s="44">
        <f>'Form 1040 WP'!C9</f>
        <v>108782.05128205128</v>
      </c>
    </row>
    <row r="13" spans="1:6" x14ac:dyDescent="0.3">
      <c r="A13" s="11" t="s">
        <v>274</v>
      </c>
      <c r="B13" s="44">
        <f>'Form 1040 WP'!C10</f>
        <v>11700</v>
      </c>
    </row>
    <row r="14" spans="1:6" x14ac:dyDescent="0.3">
      <c r="A14" s="11" t="s">
        <v>275</v>
      </c>
      <c r="B14" s="44">
        <f>'FBAR WP'!C9</f>
        <v>92487.180000000008</v>
      </c>
    </row>
    <row r="19" spans="1:5" x14ac:dyDescent="0.3">
      <c r="A19" s="10" t="s">
        <v>276</v>
      </c>
      <c r="B19" s="10" t="s">
        <v>266</v>
      </c>
      <c r="D19" s="10" t="s">
        <v>283</v>
      </c>
      <c r="E19" s="10" t="s">
        <v>223</v>
      </c>
    </row>
    <row r="20" spans="1:5" x14ac:dyDescent="0.3">
      <c r="A20" s="10" t="s">
        <v>277</v>
      </c>
      <c r="B20" s="10" t="s">
        <v>278</v>
      </c>
      <c r="D20" s="10" t="s">
        <v>284</v>
      </c>
      <c r="E20" s="10" t="s">
        <v>285</v>
      </c>
    </row>
    <row r="21" spans="1:5" x14ac:dyDescent="0.3">
      <c r="A21" s="10" t="s">
        <v>279</v>
      </c>
      <c r="B21" s="10" t="s">
        <v>280</v>
      </c>
      <c r="D21" s="10" t="s">
        <v>286</v>
      </c>
      <c r="E21" s="10" t="s">
        <v>285</v>
      </c>
    </row>
    <row r="22" spans="1:5" x14ac:dyDescent="0.3">
      <c r="A22" s="10" t="s">
        <v>281</v>
      </c>
      <c r="B22" s="10" t="s">
        <v>282</v>
      </c>
      <c r="D22" s="10" t="s">
        <v>287</v>
      </c>
      <c r="E22" s="10" t="s">
        <v>285</v>
      </c>
    </row>
    <row r="23" spans="1:5" x14ac:dyDescent="0.3">
      <c r="D23" s="10" t="s">
        <v>288</v>
      </c>
      <c r="E23" s="10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Client Portfolio</vt:lpstr>
      <vt:lpstr>Income Data</vt:lpstr>
      <vt:lpstr>FX Rates</vt:lpstr>
      <vt:lpstr>Foreign Account</vt:lpstr>
      <vt:lpstr>Form 1040 WP</vt:lpstr>
      <vt:lpstr>Form 2555 WP</vt:lpstr>
      <vt:lpstr>Form 1116 WP</vt:lpstr>
      <vt:lpstr>FBAR WP</vt:lpstr>
      <vt:lpstr>Form 8938 WP</vt:lpstr>
      <vt:lpstr>W-8 , W-9 Review</vt:lpstr>
      <vt:lpstr>Compliance Checklist</vt:lpstr>
      <vt:lpstr>Final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Verma</dc:creator>
  <cp:lastModifiedBy>Akshat Verma</cp:lastModifiedBy>
  <dcterms:created xsi:type="dcterms:W3CDTF">2026-09-17T03:48:41Z</dcterms:created>
  <dcterms:modified xsi:type="dcterms:W3CDTF">2026-09-22T04:17:17Z</dcterms:modified>
</cp:coreProperties>
</file>